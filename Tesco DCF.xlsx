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https://livewarwickac-my.sharepoint.com/personal/u5706552_live_warwick_ac_uk/Documents/"/>
    </mc:Choice>
  </mc:AlternateContent>
  <xr:revisionPtr revIDLastSave="864" documentId="8_{7DFE6C4D-56B5-634C-8469-5D7D40C631A3}" xr6:coauthVersionLast="47" xr6:coauthVersionMax="47" xr10:uidLastSave="{7D559480-B74A-7A43-900D-93273A175868}"/>
  <bookViews>
    <workbookView xWindow="17080" yWindow="680" windowWidth="17120" windowHeight="19980" activeTab="4" xr2:uid="{46CA72DC-C037-5045-8C7C-0D5E5C4A880F}"/>
  </bookViews>
  <sheets>
    <sheet name="Introduction" sheetId="1" r:id="rId1"/>
    <sheet name="WACC" sheetId="2" r:id="rId2"/>
    <sheet name="Free Cash Flow" sheetId="3" r:id="rId3"/>
    <sheet name="Valuation" sheetId="5" r:id="rId4"/>
    <sheet name="Valuation Summary"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4" i="3" l="1"/>
  <c r="G24" i="3"/>
  <c r="F24" i="3"/>
  <c r="E24" i="3"/>
  <c r="D24" i="3"/>
  <c r="C9" i="7"/>
  <c r="C7" i="7"/>
  <c r="C8" i="7"/>
  <c r="D22" i="3"/>
  <c r="D19" i="3"/>
  <c r="D18" i="3"/>
  <c r="D23" i="3" s="1"/>
  <c r="H14" i="3"/>
  <c r="G14" i="3"/>
  <c r="F14" i="3"/>
  <c r="E14" i="3"/>
  <c r="D14" i="3"/>
  <c r="C19" i="2"/>
  <c r="C21" i="2" s="1"/>
  <c r="C14" i="2"/>
  <c r="C9" i="2"/>
  <c r="D20" i="3" l="1"/>
  <c r="D21" i="3" s="1"/>
  <c r="D25" i="3" s="1"/>
  <c r="D8" i="5" s="1"/>
  <c r="C20" i="2"/>
  <c r="C24" i="2" s="1"/>
  <c r="C5" i="5" s="1"/>
  <c r="E18" i="3"/>
  <c r="D10" i="5"/>
  <c r="H10" i="5"/>
  <c r="F10" i="5"/>
  <c r="D11" i="5" l="1"/>
  <c r="E22" i="3"/>
  <c r="F18" i="3"/>
  <c r="E19" i="3"/>
  <c r="E23" i="3"/>
  <c r="E10" i="5"/>
  <c r="G10" i="5"/>
  <c r="E20" i="3" l="1"/>
  <c r="E21" i="3" s="1"/>
  <c r="E25" i="3" s="1"/>
  <c r="E8" i="5" s="1"/>
  <c r="E11" i="5" s="1"/>
  <c r="G18" i="3"/>
  <c r="F19" i="3"/>
  <c r="F22" i="3"/>
  <c r="F23" i="3"/>
  <c r="F20" i="3" l="1"/>
  <c r="F21" i="3"/>
  <c r="F25" i="3" s="1"/>
  <c r="F8" i="5" s="1"/>
  <c r="F11" i="5" s="1"/>
  <c r="H18" i="3"/>
  <c r="G23" i="3"/>
  <c r="G19" i="3"/>
  <c r="G22" i="3"/>
  <c r="G20" i="3" l="1"/>
  <c r="G21" i="3" s="1"/>
  <c r="G25" i="3" s="1"/>
  <c r="G8" i="5" s="1"/>
  <c r="G11" i="5" s="1"/>
  <c r="H23" i="3"/>
  <c r="H19" i="3"/>
  <c r="H22" i="3"/>
  <c r="C16" i="5" l="1"/>
  <c r="C18" i="5" s="1"/>
  <c r="C19" i="5" s="1"/>
  <c r="H20" i="3"/>
  <c r="H21" i="3" s="1"/>
  <c r="H25" i="3" s="1"/>
  <c r="H8" i="5" s="1"/>
  <c r="C22" i="5" l="1"/>
  <c r="C24" i="5" s="1"/>
  <c r="C25" i="5" s="1"/>
  <c r="C28" i="5" s="1"/>
  <c r="C32" i="5" s="1"/>
  <c r="H11" i="5"/>
  <c r="C12" i="5" s="1"/>
  <c r="C31" i="5" s="1"/>
  <c r="C33" i="5" l="1"/>
  <c r="C36" i="5" s="1"/>
  <c r="C40" i="5" s="1"/>
  <c r="C44" i="5" s="1"/>
  <c r="C5" i="7" l="1"/>
  <c r="C52" i="5"/>
  <c r="C46" i="5"/>
  <c r="C10" i="7" s="1"/>
</calcChain>
</file>

<file path=xl/sharedStrings.xml><?xml version="1.0" encoding="utf-8"?>
<sst xmlns="http://schemas.openxmlformats.org/spreadsheetml/2006/main" count="134" uniqueCount="125">
  <si>
    <t>Tesco PLC - DCF Rufus Cottle 31/7/26</t>
  </si>
  <si>
    <t xml:space="preserve">This part of my personal project is to perform a DCF on Tesco PLC to pair with my  COMPS  valuation . I think this is important as COMPS tell you what the market values similar companies to the target company however the DCF offers a intrinsic value based on what the target company cash flows will look like in the future. </t>
  </si>
  <si>
    <t>Contents:</t>
  </si>
  <si>
    <t xml:space="preserve">2. WACC - builds a discount factor </t>
  </si>
  <si>
    <t>WACC</t>
  </si>
  <si>
    <t>Cost of equity (CAPM)</t>
  </si>
  <si>
    <t>Risk free rate (rf)</t>
  </si>
  <si>
    <t>Beta</t>
  </si>
  <si>
    <t>Equity risk premium (ERP)</t>
  </si>
  <si>
    <t>Cost of equity (Re)</t>
  </si>
  <si>
    <t xml:space="preserve">Cost of debt </t>
  </si>
  <si>
    <t>Pre-tax cost of debt (rd)</t>
  </si>
  <si>
    <t>Tax rate</t>
  </si>
  <si>
    <t>Capital structure</t>
  </si>
  <si>
    <t>What this slide does:</t>
  </si>
  <si>
    <t>Cost of equity:</t>
  </si>
  <si>
    <t>Cost of debt :</t>
  </si>
  <si>
    <t>After tax cost of debt</t>
  </si>
  <si>
    <t xml:space="preserve">Equity value </t>
  </si>
  <si>
    <t>Total debt</t>
  </si>
  <si>
    <t xml:space="preserve">Total funding </t>
  </si>
  <si>
    <t>Equity share</t>
  </si>
  <si>
    <t>Debt share</t>
  </si>
  <si>
    <t>Assumptions/ Drivers</t>
  </si>
  <si>
    <t>Base year revenue (£m)</t>
  </si>
  <si>
    <t>Revenue growth %</t>
  </si>
  <si>
    <t>EBIT margin %</t>
  </si>
  <si>
    <t>D&amp;A (% of revenue)</t>
  </si>
  <si>
    <t>Capex (% of revenue)</t>
  </si>
  <si>
    <t>Change in NWC (% of revenue)</t>
  </si>
  <si>
    <t>Year 1</t>
  </si>
  <si>
    <t>Year 2</t>
  </si>
  <si>
    <t>Year 3</t>
  </si>
  <si>
    <t>Year 4</t>
  </si>
  <si>
    <t>Year 5</t>
  </si>
  <si>
    <t>Tax rate (From WACC tab)</t>
  </si>
  <si>
    <t xml:space="preserve">Unlevered Free Cash Flow </t>
  </si>
  <si>
    <t xml:space="preserve">Year 1 </t>
  </si>
  <si>
    <t>What this tab does:</t>
  </si>
  <si>
    <t>Assumptions/Drivers :</t>
  </si>
  <si>
    <t>Unlevered Free Cash flow :</t>
  </si>
  <si>
    <t xml:space="preserve">Revenue </t>
  </si>
  <si>
    <t>EBIT</t>
  </si>
  <si>
    <t xml:space="preserve">Cash tax </t>
  </si>
  <si>
    <t>NOPAT</t>
  </si>
  <si>
    <t>D&amp;A</t>
  </si>
  <si>
    <t>Capex</t>
  </si>
  <si>
    <t>Change in NWC</t>
  </si>
  <si>
    <t>Unlevered FCF</t>
  </si>
  <si>
    <t>Valuation</t>
  </si>
  <si>
    <t>Discounting</t>
  </si>
  <si>
    <t>WACC (from WACC Tab)</t>
  </si>
  <si>
    <t>Year1</t>
  </si>
  <si>
    <t>Year2</t>
  </si>
  <si>
    <t>Year3</t>
  </si>
  <si>
    <t>Year4</t>
  </si>
  <si>
    <t>Year5</t>
  </si>
  <si>
    <t>Discount period</t>
  </si>
  <si>
    <t>PV of Unlevered FCF</t>
  </si>
  <si>
    <t>Sum: PV of forecast FCF</t>
  </si>
  <si>
    <t>Discounting block :</t>
  </si>
  <si>
    <t xml:space="preserve">Terminal value </t>
  </si>
  <si>
    <t>Terminal value block :</t>
  </si>
  <si>
    <t>Method A - Exit Multiple (EMM)</t>
  </si>
  <si>
    <t>Terminal year EBITDA</t>
  </si>
  <si>
    <t>PV of terminal value</t>
  </si>
  <si>
    <t>Terminal value (undiscounted)</t>
  </si>
  <si>
    <t>Year 0</t>
  </si>
  <si>
    <t>Terminal year UFCF</t>
  </si>
  <si>
    <t>Terminal growth rate (g)</t>
  </si>
  <si>
    <t>Pv of terminal value (PGM)</t>
  </si>
  <si>
    <t>Selected TV method</t>
  </si>
  <si>
    <t>PV of terminal value (selected)</t>
  </si>
  <si>
    <t>PGM</t>
  </si>
  <si>
    <t xml:space="preserve">Enterprise value </t>
  </si>
  <si>
    <t>PV of forecast FCF</t>
  </si>
  <si>
    <t>Enterprise value (EV)</t>
  </si>
  <si>
    <t>EV to equity bridge</t>
  </si>
  <si>
    <t>Enterprise value</t>
  </si>
  <si>
    <t>Less: net debt</t>
  </si>
  <si>
    <t>preferred</t>
  </si>
  <si>
    <t xml:space="preserve">Less: minority interest </t>
  </si>
  <si>
    <t>Equity value</t>
  </si>
  <si>
    <t>Per share</t>
  </si>
  <si>
    <t>FD shares (m)</t>
  </si>
  <si>
    <t>Implied share price</t>
  </si>
  <si>
    <t>Current share price (£)</t>
  </si>
  <si>
    <t>Implied upside/downside</t>
  </si>
  <si>
    <t>Enterprise value :</t>
  </si>
  <si>
    <t xml:space="preserve">This just adds the 2 halves of the answer together, the present value of the forecasted cash flows plus the terminal value leading to a result which is the value of the whole company. </t>
  </si>
  <si>
    <t>EV equity bridge:</t>
  </si>
  <si>
    <t>Per share:</t>
  </si>
  <si>
    <t>Equity value divided by fully diluted shares gives an intrinsic value per share. I have then compared my intrinsic value to the current market price of £4.70</t>
  </si>
  <si>
    <t xml:space="preserve">Sensitivity </t>
  </si>
  <si>
    <t>Method</t>
  </si>
  <si>
    <t>Implied £</t>
  </si>
  <si>
    <t>DCF — Perpetuity Growth (base)</t>
  </si>
  <si>
    <t>DCF — Exit Multiple (cross-check)</t>
  </si>
  <si>
    <t>Sensitivity — low</t>
  </si>
  <si>
    <t>Sensitivity — high</t>
  </si>
  <si>
    <t>Current share price</t>
  </si>
  <si>
    <t>Implied upside/(downside)</t>
  </si>
  <si>
    <t>Tesco annual report - https://www.tescoplc.com/investors/reports-results-and-presentations/annual-report-2025</t>
  </si>
  <si>
    <t>Gilt source - https://www.hl.co.uk/shares/corporate-bonds-gilts/bond-prices/uk-gilts</t>
  </si>
  <si>
    <t>Bond YTM source - https://www.tescoplc.com/investors/debt-investors/unsecured-bonds</t>
  </si>
  <si>
    <t>Beta source - https://uk.investing.com/pro/LSE:TSCO/explorer/beta</t>
  </si>
  <si>
    <t>3. DCF +  sensitivity- the valuation</t>
  </si>
  <si>
    <t>4. Valuation</t>
  </si>
  <si>
    <t>5. Valuation summary</t>
  </si>
  <si>
    <t>Discount factor</t>
  </si>
  <si>
    <t>Exit EV/EBITDA multiple</t>
  </si>
  <si>
    <t>Sources:</t>
  </si>
  <si>
    <t>This is what lenders demand and we can just read it off their contracts through 2 methods. 1. The YTM on a 10 year Tesco bond or 2. Take the risk free rate then add the credit spread ( Tesco is BBB). We then know of the cost of debt before tax so we then have to take the tax benefits into account. Unlike paying shareholders, paying lenders on their interest is tax deductible so you have to take out the tax rate out of the cost of  debt to get the after tax cost of debt. The tax rate for corporations in the UK is 25%. As the interest is tax deductible, the borrowing cuts Tesco's tax bill so the tax man effectively re funds part of the interest.</t>
  </si>
  <si>
    <t>This tab forecast how much actual cash tesco makes per year which is what the DCF actually discounts. The slide builds unlevered free cash flows which is the cash made by the business before paying any financing costs so this cash belongs to all funders (Lenders and stockholders) which is why it gets discounted back at the WACC to give the enterprise value. This tabs information comes from assumptions not set facts like the WACC tab as each assumption comes from Tescos's real historical from the annual report</t>
  </si>
  <si>
    <t>Enterprise value belongs to everyone who funds the firm. To get what the shareholders alone own you have to strip out what the lenders are owed. This is net debt plus anything else ahead of ordinary shareholders like preferred and minority interest. This leaves the equity value which is the value left to the shareholders alone.</t>
  </si>
  <si>
    <t>This block is used to discount the future cash flows we worked out earlier using the WACC to get the present value of those future cash flows. A pound arriving in the future is worth less than a pound today, because todays pound could be invested to earn the WACC in the meantime. So each year the cash has to be shrunk by the discount factor, which is 1 divided by (1+WACC) raised to the power of how many years in the future you are trying to discount from.</t>
  </si>
  <si>
    <t>Method B - Perpetuity Growth (PGM)</t>
  </si>
  <si>
    <r>
      <t xml:space="preserve">You can only forecast 5 years credibly however Tesco's doesn’t stop in 5 years, it will keep generating cash fore decades. Terminal value captures all of that into a single figure. You compue it in 2 ways and cross check them. </t>
    </r>
    <r>
      <rPr>
        <b/>
        <sz val="12"/>
        <color theme="1"/>
        <rFont val="Times New Roman"/>
        <family val="1"/>
      </rPr>
      <t xml:space="preserve">Method A the exit multiple method: </t>
    </r>
    <r>
      <rPr>
        <sz val="12"/>
        <color theme="1"/>
        <rFont val="Times New Roman"/>
        <family val="1"/>
      </rPr>
      <t xml:space="preserve">values Tesco at year 5 as if it was sold at a market EV/EBITDA mulitple. The multiple i used is not Tesco's current 9.2x because cyrrent levels include a premuim that shouldn't/t be baked in forever. </t>
    </r>
    <r>
      <rPr>
        <b/>
        <sz val="12"/>
        <color theme="1"/>
        <rFont val="Times New Roman"/>
        <family val="1"/>
      </rPr>
      <t xml:space="preserve">Method B is the perpuity growth method </t>
    </r>
    <r>
      <rPr>
        <sz val="12"/>
        <color theme="1"/>
        <rFont val="Times New Roman"/>
        <family val="1"/>
      </rPr>
      <t xml:space="preserve"> which instead assumes the year 5 cash grows a small fixed rate forever where g must be below the WACC or the maths breaks. Both terminal values are measured at year 5 so both get discounted back by the year 5 factor.</t>
    </r>
  </si>
  <si>
    <r>
      <t xml:space="preserve">This is what the shareholders demand however since equity has no contract as the shareholders are not promised a return in the same way lenders are, you can't read of how much they demand in return from a document. You have to estimate it with CAPM. This builds the demanded return into 3 layers. 1. </t>
    </r>
    <r>
      <rPr>
        <b/>
        <sz val="12"/>
        <color theme="1"/>
        <rFont val="Times New Roman"/>
        <family val="1"/>
      </rPr>
      <t xml:space="preserve">The risk fee rate </t>
    </r>
    <r>
      <rPr>
        <sz val="12"/>
        <color theme="1"/>
        <rFont val="Times New Roman"/>
        <family val="1"/>
      </rPr>
      <t xml:space="preserve">is what you earn with zero risk. This is here as every investors base line alternative without taking on any risk is lending to the government such as a 10 year gilt. 2.  </t>
    </r>
    <r>
      <rPr>
        <b/>
        <sz val="12"/>
        <color theme="1"/>
        <rFont val="Times New Roman"/>
        <family val="1"/>
      </rPr>
      <t>The Beta</t>
    </r>
    <r>
      <rPr>
        <sz val="12"/>
        <color theme="1"/>
        <rFont val="Times New Roman"/>
        <family val="1"/>
      </rPr>
      <t xml:space="preserve"> is a number not a return and this number measures how much a specific stock loves relative to the market. so if you have a beta of 1 the stock moves the same amount as the market. 3. </t>
    </r>
    <r>
      <rPr>
        <b/>
        <sz val="12"/>
        <color theme="1"/>
        <rFont val="Times New Roman"/>
        <family val="1"/>
      </rPr>
      <t xml:space="preserve">The equity risk premium (ERP) </t>
    </r>
    <r>
      <rPr>
        <sz val="12"/>
        <color theme="1"/>
        <rFont val="Times New Roman"/>
        <family val="1"/>
      </rPr>
      <t>is the extra return demanded for taking an equity risk.</t>
    </r>
  </si>
  <si>
    <r>
      <t xml:space="preserve">These are how we get the values to forecast. </t>
    </r>
    <r>
      <rPr>
        <b/>
        <sz val="12"/>
        <color theme="1"/>
        <rFont val="Times New Roman"/>
        <family val="1"/>
      </rPr>
      <t>Revenue</t>
    </r>
    <r>
      <rPr>
        <sz val="12"/>
        <color theme="1"/>
        <rFont val="Times New Roman"/>
        <family val="1"/>
      </rPr>
      <t xml:space="preserve"> </t>
    </r>
    <r>
      <rPr>
        <b/>
        <sz val="12"/>
        <color theme="1"/>
        <rFont val="Times New Roman"/>
        <family val="1"/>
      </rPr>
      <t>growth</t>
    </r>
    <r>
      <rPr>
        <sz val="12"/>
        <color theme="1"/>
        <rFont val="Times New Roman"/>
        <family val="1"/>
      </rPr>
      <t xml:space="preserve"> sits at the top because revenue is the top of the waterfall, with every line below being worked out from it. </t>
    </r>
    <r>
      <rPr>
        <b/>
        <sz val="12"/>
        <color theme="1"/>
        <rFont val="Times New Roman"/>
        <family val="1"/>
      </rPr>
      <t>EBIT  margin</t>
    </r>
    <r>
      <rPr>
        <sz val="12"/>
        <color theme="1"/>
        <rFont val="Times New Roman"/>
        <family val="1"/>
      </rPr>
      <t xml:space="preserve"> is included to show how much of the sales is turned into operating profit. </t>
    </r>
    <r>
      <rPr>
        <b/>
        <sz val="12"/>
        <color theme="1"/>
        <rFont val="Times New Roman"/>
        <family val="1"/>
      </rPr>
      <t>D&amp;A %</t>
    </r>
    <r>
      <rPr>
        <sz val="12"/>
        <color theme="1"/>
        <rFont val="Times New Roman"/>
        <family val="1"/>
      </rPr>
      <t xml:space="preserve"> is included because you have to add it back on later. </t>
    </r>
    <r>
      <rPr>
        <b/>
        <sz val="12"/>
        <color theme="1"/>
        <rFont val="Times New Roman"/>
        <family val="1"/>
      </rPr>
      <t>Capex %</t>
    </r>
    <r>
      <rPr>
        <sz val="12"/>
        <color theme="1"/>
        <rFont val="Times New Roman"/>
        <family val="1"/>
      </rPr>
      <t xml:space="preserve"> is cash spent on stores and equipment so affects the unlevered cash flow as well.  </t>
    </r>
    <r>
      <rPr>
        <b/>
        <sz val="12"/>
        <color theme="1"/>
        <rFont val="Times New Roman"/>
        <family val="1"/>
      </rPr>
      <t>Change in NWC %</t>
    </r>
    <r>
      <rPr>
        <sz val="12"/>
        <color theme="1"/>
        <rFont val="Times New Roman"/>
        <family val="1"/>
      </rPr>
      <t xml:space="preserve"> is included to show all the cash tied up in day to day operations so changes the unlevered cash flow. </t>
    </r>
    <r>
      <rPr>
        <b/>
        <sz val="12"/>
        <color theme="1"/>
        <rFont val="Times New Roman"/>
        <family val="1"/>
      </rPr>
      <t>Tax rate</t>
    </r>
    <r>
      <rPr>
        <sz val="12"/>
        <color theme="1"/>
        <rFont val="Times New Roman"/>
        <family val="1"/>
      </rPr>
      <t xml:space="preserve"> is pulled directly from the WACC tab.</t>
    </r>
  </si>
  <si>
    <r>
      <t xml:space="preserve">Revenue = base year grown by the growth %, then each later year grow off the year before it. </t>
    </r>
    <r>
      <rPr>
        <b/>
        <sz val="12"/>
        <color theme="1"/>
        <rFont val="Times New Roman"/>
        <family val="1"/>
      </rPr>
      <t>EBIT</t>
    </r>
    <r>
      <rPr>
        <sz val="12"/>
        <color theme="1"/>
        <rFont val="Times New Roman"/>
        <family val="1"/>
      </rPr>
      <t xml:space="preserve"> = revenue x margin, the slice of sales that becomes operating profit.  This in unlevered cash flow so we assume Tesco has no debt at all meaning there is no interest to deduct so no </t>
    </r>
    <r>
      <rPr>
        <b/>
        <sz val="12"/>
        <color theme="1"/>
        <rFont val="Times New Roman"/>
        <family val="1"/>
      </rPr>
      <t>tax</t>
    </r>
    <r>
      <rPr>
        <sz val="12"/>
        <color theme="1"/>
        <rFont val="Times New Roman"/>
        <family val="1"/>
      </rPr>
      <t xml:space="preserve"> shield either. The shield is already handled in the WACC so if you taxed the profit after interest here it would be counting the benefit of debt twice. once in the cash flows and once in the discount rate. Therefore taxing the whole EBIT keeps the model from double counting the tax benefit. The result of removing the tax from the EBIT is </t>
    </r>
    <r>
      <rPr>
        <b/>
        <sz val="12"/>
        <color theme="1"/>
        <rFont val="Times New Roman"/>
        <family val="1"/>
      </rPr>
      <t>NOPAT</t>
    </r>
    <r>
      <rPr>
        <sz val="12"/>
        <color theme="1"/>
        <rFont val="Times New Roman"/>
        <family val="1"/>
      </rPr>
      <t xml:space="preserve"> (after tax operating profit).  </t>
    </r>
    <r>
      <rPr>
        <b/>
        <sz val="12"/>
        <color theme="1"/>
        <rFont val="Times New Roman"/>
        <family val="1"/>
      </rPr>
      <t>D&amp;A</t>
    </r>
    <r>
      <rPr>
        <sz val="12"/>
        <color theme="1"/>
        <rFont val="Times New Roman"/>
        <family val="1"/>
      </rPr>
      <t xml:space="preserve"> was taken out when working out the EBIT because it is an expense in the accounts however no actual cash leaves the business for depreciation, its just an accounting charge that spreads the cost of an asset over its life. However since we are building a cash figure we have to add it back turning profit into cash. </t>
    </r>
    <r>
      <rPr>
        <b/>
        <sz val="12"/>
        <color theme="1"/>
        <rFont val="Times New Roman"/>
        <family val="1"/>
      </rPr>
      <t>Capex</t>
    </r>
    <r>
      <rPr>
        <sz val="12"/>
        <color theme="1"/>
        <rFont val="Times New Roman"/>
        <family val="1"/>
      </rPr>
      <t xml:space="preserve"> is real cash spent buying long term assets like stores and equipment. Its not inside EBIT so it has to be taken into account here.  Change in NWC also needs to be taken into account to work out unlevered cash flow since it effects cash flow as it shows the cash tied up in the day to day operations such as inventory and trade receivables. However grocers can actually be negative here as they collect from customers before payer their suppliers so cash is released instead. When you have done all this to the EBIT you will then have your unlevered cash flow = NOPAT + D&amp;A - Capex - change in NWC. This shows the genuine cash the business produces each year before financing.</t>
    </r>
  </si>
  <si>
    <t xml:space="preserve">Everything on this tba exists to produce a number called the discount rate. The DCF will forecast Tesco's future cash and then shrink each year back to todays value and the rate we use to do this is called the discount rate. We use the weighted average cost of capital also referred to as the WACC. It's the blended return Tesco's funders (which are a mix of lenders and shareholders) demand. so it is the hurdle those future cash flows must clear to be worth anything. </t>
  </si>
  <si>
    <r>
      <rPr>
        <b/>
        <sz val="12"/>
        <color theme="6"/>
        <rFont val="Times New Roman"/>
        <family val="1"/>
      </rPr>
      <t>Capital structure</t>
    </r>
    <r>
      <rPr>
        <b/>
        <sz val="12"/>
        <color theme="9"/>
        <rFont val="Times New Roman"/>
        <family val="1"/>
      </rPr>
      <t xml:space="preserve"> :</t>
    </r>
    <r>
      <rPr>
        <b/>
        <sz val="12"/>
        <color theme="1"/>
        <rFont val="Times New Roman"/>
        <family val="1"/>
      </rPr>
      <t xml:space="preserve"> </t>
    </r>
    <r>
      <rPr>
        <sz val="12"/>
        <color theme="1"/>
        <rFont val="Times New Roman"/>
        <family val="1"/>
      </rPr>
      <t>WACC is an average of the 2 costs but not a straight average as most companies wont have a 50/50 split of equity and debt. So a company which is 90% equity funded should have a WACC that's mostly cost of equity.</t>
    </r>
  </si>
  <si>
    <r>
      <rPr>
        <b/>
        <sz val="12"/>
        <color theme="6"/>
        <rFont val="Times New Roman"/>
        <family val="1"/>
      </rPr>
      <t>WACC :</t>
    </r>
    <r>
      <rPr>
        <b/>
        <sz val="12"/>
        <color theme="1"/>
        <rFont val="Times New Roman"/>
        <family val="1"/>
      </rPr>
      <t xml:space="preserve"> </t>
    </r>
    <r>
      <rPr>
        <sz val="12"/>
        <color theme="1"/>
        <rFont val="Times New Roman"/>
        <family val="1"/>
      </rPr>
      <t>This formula to work out the WACC in words is just the equity's weight x cost of equity + debt's weight x after tax cost of debt. Which is each funder's cost scaled by how much of the company they fund.</t>
    </r>
  </si>
  <si>
    <t>DCF implies £4.02 (exit multiple) to £6.48 (perpetuity growth), against a market price of £4.70. The methods straddle the current price, and the gap reflects how sensitive the perpetuity approach is to terminal assumptions — terminal value is 79% of enterprise value. Comps on a lease-inclusive basis imply £3.10, suggesting the market is pricing Tesco closer to peer multiples than to its intrinsic cash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</si>
</sst>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2"/>
      <color theme="1"/>
      <name val="Aptos Narrow"/>
      <family val="2"/>
      <scheme val="minor"/>
    </font>
    <font>
      <sz val="12"/>
      <color theme="1"/>
      <name val="Aptos Narrow"/>
      <family val="2"/>
      <scheme val="minor"/>
    </font>
    <font>
      <sz val="12"/>
      <color theme="1"/>
      <name val="Times New Roman"/>
      <family val="1"/>
    </font>
    <font>
      <b/>
      <sz val="12"/>
      <color theme="1"/>
      <name val="Times New Roman"/>
      <family val="1"/>
    </font>
    <font>
      <b/>
      <sz val="20"/>
      <color theme="0"/>
      <name val="Times New Roman"/>
      <family val="1"/>
    </font>
    <font>
      <sz val="8"/>
      <name val="Aptos Narrow"/>
      <family val="2"/>
      <scheme val="minor"/>
    </font>
    <font>
      <sz val="10"/>
      <color theme="1"/>
      <name val="Times New Roman"/>
      <family val="1"/>
    </font>
    <font>
      <b/>
      <sz val="12"/>
      <color theme="0"/>
      <name val="Times New Roman"/>
      <family val="1"/>
    </font>
    <font>
      <b/>
      <sz val="12"/>
      <color theme="9"/>
      <name val="Times New Roman"/>
      <family val="1"/>
    </font>
    <font>
      <b/>
      <sz val="14"/>
      <color theme="0"/>
      <name val="Times New Roman"/>
      <family val="1"/>
    </font>
    <font>
      <sz val="12"/>
      <color theme="0"/>
      <name val="Times New Roman"/>
      <family val="1"/>
    </font>
    <font>
      <b/>
      <sz val="12"/>
      <color theme="6"/>
      <name val="Times New Roman"/>
      <family val="1"/>
    </font>
  </fonts>
  <fills count="5">
    <fill>
      <patternFill patternType="none"/>
    </fill>
    <fill>
      <patternFill patternType="gray125"/>
    </fill>
    <fill>
      <patternFill patternType="solid">
        <fgColor theme="6"/>
        <bgColor indexed="64"/>
      </patternFill>
    </fill>
    <fill>
      <patternFill patternType="solid">
        <fgColor theme="0"/>
        <bgColor indexed="64"/>
      </patternFill>
    </fill>
    <fill>
      <patternFill patternType="solid">
        <fgColor rgb="FF0063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2" fillId="0" borderId="0" xfId="0" applyFont="1" applyAlignment="1">
      <alignment wrapText="1"/>
    </xf>
    <xf numFmtId="0" fontId="2" fillId="0" borderId="0" xfId="0" applyFont="1"/>
    <xf numFmtId="0" fontId="3" fillId="0" borderId="0" xfId="0" applyFont="1"/>
    <xf numFmtId="0" fontId="4" fillId="2" borderId="0" xfId="0" applyFont="1" applyFill="1"/>
    <xf numFmtId="43" fontId="2" fillId="0" borderId="0" xfId="1" applyFont="1"/>
    <xf numFmtId="43" fontId="3" fillId="0" borderId="0" xfId="1" applyFont="1"/>
    <xf numFmtId="10" fontId="2" fillId="0" borderId="0" xfId="2" applyNumberFormat="1" applyFont="1"/>
    <xf numFmtId="43" fontId="2" fillId="0" borderId="0" xfId="1" applyFont="1" applyAlignment="1">
      <alignment horizontal="center"/>
    </xf>
    <xf numFmtId="43" fontId="3" fillId="0" borderId="0" xfId="1" applyFont="1" applyAlignment="1">
      <alignment horizontal="center"/>
    </xf>
    <xf numFmtId="9" fontId="2" fillId="0" borderId="0" xfId="2" applyFont="1"/>
    <xf numFmtId="43" fontId="2" fillId="0" borderId="0" xfId="0" applyNumberFormat="1" applyFont="1"/>
    <xf numFmtId="10" fontId="2" fillId="0" borderId="0" xfId="0" applyNumberFormat="1" applyFont="1"/>
    <xf numFmtId="10" fontId="6" fillId="0" borderId="0" xfId="0" applyNumberFormat="1" applyFont="1"/>
    <xf numFmtId="0" fontId="3" fillId="0" borderId="0" xfId="0" applyFont="1" applyAlignment="1">
      <alignment wrapText="1"/>
    </xf>
    <xf numFmtId="10" fontId="2" fillId="0" borderId="0" xfId="0" applyNumberFormat="1" applyFont="1" applyAlignment="1">
      <alignment wrapText="1"/>
    </xf>
    <xf numFmtId="10" fontId="2" fillId="0" borderId="0" xfId="2" applyNumberFormat="1" applyFont="1" applyAlignment="1">
      <alignment wrapText="1"/>
    </xf>
    <xf numFmtId="9" fontId="2" fillId="0" borderId="0" xfId="0" applyNumberFormat="1" applyFont="1" applyAlignment="1">
      <alignment wrapText="1"/>
    </xf>
    <xf numFmtId="0" fontId="2" fillId="0" borderId="0" xfId="0" applyFont="1" applyAlignment="1">
      <alignment horizontal="center"/>
    </xf>
    <xf numFmtId="10" fontId="2" fillId="0" borderId="0" xfId="0" applyNumberFormat="1" applyFont="1" applyAlignment="1">
      <alignment horizontal="center"/>
    </xf>
    <xf numFmtId="9" fontId="2" fillId="0" borderId="0" xfId="0" applyNumberFormat="1" applyFont="1" applyAlignment="1">
      <alignment horizontal="center"/>
    </xf>
    <xf numFmtId="43" fontId="2" fillId="0" borderId="0" xfId="0" applyNumberFormat="1" applyFont="1" applyAlignment="1">
      <alignment vertical="center"/>
    </xf>
    <xf numFmtId="43" fontId="2" fillId="0" borderId="0" xfId="0" applyNumberFormat="1" applyFont="1" applyAlignment="1">
      <alignment horizontal="center" vertical="center"/>
    </xf>
    <xf numFmtId="9" fontId="6" fillId="0" borderId="0" xfId="0" applyNumberFormat="1" applyFont="1"/>
    <xf numFmtId="0" fontId="2" fillId="3" borderId="0" xfId="0" applyFont="1" applyFill="1" applyAlignment="1">
      <alignment wrapText="1"/>
    </xf>
    <xf numFmtId="0" fontId="7" fillId="2" borderId="0" xfId="0" applyFont="1" applyFill="1" applyAlignment="1">
      <alignment wrapText="1"/>
    </xf>
    <xf numFmtId="0" fontId="7" fillId="2" borderId="0" xfId="0" applyFont="1" applyFill="1"/>
    <xf numFmtId="43" fontId="9" fillId="2" borderId="0" xfId="1" applyFont="1" applyFill="1"/>
    <xf numFmtId="43" fontId="9" fillId="2" borderId="0" xfId="1" applyFont="1" applyFill="1" applyAlignment="1">
      <alignment wrapText="1"/>
    </xf>
    <xf numFmtId="0" fontId="10" fillId="2" borderId="0" xfId="0" applyFont="1" applyFill="1"/>
    <xf numFmtId="0" fontId="9" fillId="2" borderId="0" xfId="0" applyFont="1" applyFill="1" applyAlignment="1">
      <alignment wrapText="1"/>
    </xf>
    <xf numFmtId="43" fontId="2" fillId="4" borderId="0" xfId="1" applyFont="1" applyFill="1"/>
    <xf numFmtId="0" fontId="2" fillId="0" borderId="0" xfId="0" applyFont="1" applyAlignment="1">
      <alignment horizontal="right" vertical="center"/>
    </xf>
    <xf numFmtId="43" fontId="2" fillId="0" borderId="0" xfId="0" applyNumberFormat="1" applyFont="1" applyAlignment="1">
      <alignment horizontal="right" vertical="top"/>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C822-05F2-6945-8403-106BBB0CCE42}">
  <dimension ref="B1:B16"/>
  <sheetViews>
    <sheetView showGridLines="0" zoomScale="75" workbookViewId="0">
      <selection activeCell="C48" sqref="C48"/>
    </sheetView>
  </sheetViews>
  <sheetFormatPr baseColWidth="10" defaultRowHeight="16" x14ac:dyDescent="0.2"/>
  <cols>
    <col min="1" max="1" width="2.83203125" style="2" customWidth="1"/>
    <col min="2" max="2" width="100.83203125" style="2" customWidth="1"/>
    <col min="3" max="16384" width="10.83203125" style="2"/>
  </cols>
  <sheetData>
    <row r="1" spans="2:2" ht="25" x14ac:dyDescent="0.25">
      <c r="B1" s="4" t="s">
        <v>0</v>
      </c>
    </row>
    <row r="3" spans="2:2" ht="51" x14ac:dyDescent="0.2">
      <c r="B3" s="1" t="s">
        <v>1</v>
      </c>
    </row>
    <row r="5" spans="2:2" x14ac:dyDescent="0.2">
      <c r="B5" s="3" t="s">
        <v>2</v>
      </c>
    </row>
    <row r="6" spans="2:2" x14ac:dyDescent="0.2">
      <c r="B6" s="3" t="s">
        <v>3</v>
      </c>
    </row>
    <row r="7" spans="2:2" x14ac:dyDescent="0.2">
      <c r="B7" s="3" t="s">
        <v>106</v>
      </c>
    </row>
    <row r="8" spans="2:2" x14ac:dyDescent="0.2">
      <c r="B8" s="3" t="s">
        <v>107</v>
      </c>
    </row>
    <row r="9" spans="2:2" x14ac:dyDescent="0.2">
      <c r="B9" s="3" t="s">
        <v>108</v>
      </c>
    </row>
    <row r="12" spans="2:2" x14ac:dyDescent="0.2">
      <c r="B12" s="3" t="s">
        <v>111</v>
      </c>
    </row>
    <row r="13" spans="2:2" x14ac:dyDescent="0.2">
      <c r="B13" s="3" t="s">
        <v>102</v>
      </c>
    </row>
    <row r="14" spans="2:2" x14ac:dyDescent="0.2">
      <c r="B14" s="3" t="s">
        <v>103</v>
      </c>
    </row>
    <row r="15" spans="2:2" x14ac:dyDescent="0.2">
      <c r="B15" s="3" t="s">
        <v>104</v>
      </c>
    </row>
    <row r="16" spans="2:2" x14ac:dyDescent="0.2">
      <c r="B16" s="3"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7981-021B-F346-AE40-F24EB97A0A6D}">
  <dimension ref="B2:K24"/>
  <sheetViews>
    <sheetView showGridLines="0" zoomScale="86" workbookViewId="0">
      <selection activeCell="B5" sqref="B5"/>
    </sheetView>
  </sheetViews>
  <sheetFormatPr baseColWidth="10" defaultRowHeight="16" x14ac:dyDescent="0.2"/>
  <cols>
    <col min="1" max="1" width="10.83203125" style="2"/>
    <col min="2" max="2" width="25.83203125" style="2" customWidth="1"/>
    <col min="3" max="10" width="10.83203125" style="2"/>
    <col min="11" max="11" width="100.83203125" style="2" customWidth="1"/>
    <col min="12" max="16384" width="10.83203125" style="2"/>
  </cols>
  <sheetData>
    <row r="2" spans="2:11" ht="19" x14ac:dyDescent="0.2">
      <c r="B2" s="30" t="s">
        <v>4</v>
      </c>
      <c r="K2" s="26" t="s">
        <v>14</v>
      </c>
    </row>
    <row r="3" spans="2:11" ht="68" x14ac:dyDescent="0.2">
      <c r="B3" s="1"/>
      <c r="K3" s="24" t="s">
        <v>121</v>
      </c>
    </row>
    <row r="4" spans="2:11" x14ac:dyDescent="0.2">
      <c r="B4" s="1"/>
      <c r="K4" s="26" t="s">
        <v>15</v>
      </c>
    </row>
    <row r="5" spans="2:11" ht="119" x14ac:dyDescent="0.2">
      <c r="B5" s="25" t="s">
        <v>5</v>
      </c>
      <c r="K5" s="1" t="s">
        <v>118</v>
      </c>
    </row>
    <row r="6" spans="2:11" ht="17" x14ac:dyDescent="0.2">
      <c r="B6" s="1" t="s">
        <v>6</v>
      </c>
      <c r="C6" s="15">
        <v>5.04E-2</v>
      </c>
      <c r="D6" s="1"/>
    </row>
    <row r="7" spans="2:11" ht="17" x14ac:dyDescent="0.2">
      <c r="B7" s="1" t="s">
        <v>7</v>
      </c>
      <c r="C7" s="1">
        <v>0.57999999999999996</v>
      </c>
    </row>
    <row r="8" spans="2:11" ht="17" x14ac:dyDescent="0.2">
      <c r="B8" s="1" t="s">
        <v>8</v>
      </c>
      <c r="C8" s="16">
        <v>0.05</v>
      </c>
    </row>
    <row r="9" spans="2:11" ht="17" x14ac:dyDescent="0.2">
      <c r="B9" s="1" t="s">
        <v>9</v>
      </c>
      <c r="C9" s="16">
        <f>(C6+C7*C8)</f>
        <v>7.9399999999999998E-2</v>
      </c>
    </row>
    <row r="10" spans="2:11" ht="17" x14ac:dyDescent="0.2">
      <c r="B10" s="14" t="s">
        <v>10</v>
      </c>
      <c r="C10" s="1"/>
      <c r="K10" s="26" t="s">
        <v>16</v>
      </c>
    </row>
    <row r="11" spans="2:11" ht="102" x14ac:dyDescent="0.2">
      <c r="B11" s="1"/>
      <c r="C11" s="15"/>
      <c r="K11" s="1" t="s">
        <v>112</v>
      </c>
    </row>
    <row r="12" spans="2:11" ht="17" x14ac:dyDescent="0.2">
      <c r="B12" s="1" t="s">
        <v>11</v>
      </c>
      <c r="C12" s="15">
        <v>6.3399999999999998E-2</v>
      </c>
    </row>
    <row r="13" spans="2:11" ht="17" x14ac:dyDescent="0.2">
      <c r="B13" s="1" t="s">
        <v>12</v>
      </c>
      <c r="C13" s="17">
        <v>0.25</v>
      </c>
    </row>
    <row r="14" spans="2:11" ht="17" x14ac:dyDescent="0.2">
      <c r="B14" s="1" t="s">
        <v>17</v>
      </c>
      <c r="C14" s="16">
        <f>(C12*(1-C13))</f>
        <v>4.7549999999999995E-2</v>
      </c>
    </row>
    <row r="15" spans="2:11" ht="34" x14ac:dyDescent="0.2">
      <c r="B15" s="14"/>
      <c r="C15" s="1"/>
      <c r="K15" s="14" t="s">
        <v>122</v>
      </c>
    </row>
    <row r="16" spans="2:11" ht="17" x14ac:dyDescent="0.2">
      <c r="B16" s="25" t="s">
        <v>13</v>
      </c>
    </row>
    <row r="17" spans="2:11" ht="17" x14ac:dyDescent="0.2">
      <c r="B17" s="1" t="s">
        <v>18</v>
      </c>
      <c r="C17" s="2">
        <v>32151</v>
      </c>
    </row>
    <row r="18" spans="2:11" ht="17" x14ac:dyDescent="0.2">
      <c r="B18" s="1" t="s">
        <v>19</v>
      </c>
      <c r="C18" s="2">
        <v>14666</v>
      </c>
    </row>
    <row r="19" spans="2:11" ht="17" x14ac:dyDescent="0.2">
      <c r="B19" s="1" t="s">
        <v>20</v>
      </c>
      <c r="C19" s="2">
        <f>(C17+C18)</f>
        <v>46817</v>
      </c>
    </row>
    <row r="20" spans="2:11" ht="17" x14ac:dyDescent="0.2">
      <c r="B20" s="1" t="s">
        <v>21</v>
      </c>
      <c r="C20" s="5">
        <f>(C17/C19)</f>
        <v>0.68673772347651496</v>
      </c>
    </row>
    <row r="21" spans="2:11" ht="17" x14ac:dyDescent="0.2">
      <c r="B21" s="1" t="s">
        <v>22</v>
      </c>
      <c r="C21" s="5">
        <f>(C18/C19)</f>
        <v>0.31326227652348504</v>
      </c>
    </row>
    <row r="22" spans="2:11" ht="34" x14ac:dyDescent="0.2">
      <c r="B22" s="1"/>
      <c r="K22" s="14" t="s">
        <v>123</v>
      </c>
    </row>
    <row r="23" spans="2:11" ht="17" x14ac:dyDescent="0.2">
      <c r="B23" s="25" t="s">
        <v>4</v>
      </c>
    </row>
    <row r="24" spans="2:11" ht="17" x14ac:dyDescent="0.2">
      <c r="B24" s="1" t="s">
        <v>4</v>
      </c>
      <c r="C24" s="7">
        <f>(C20*C9+C21*C12*(1-C13))</f>
        <v>6.9422596492727001E-2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A9AE-CB71-6841-8C62-D1874761E877}">
  <dimension ref="B1:K44"/>
  <sheetViews>
    <sheetView showGridLines="0" topLeftCell="A11" zoomScale="125" zoomScaleNormal="125" workbookViewId="0">
      <selection activeCell="E24" sqref="E24:H24"/>
    </sheetView>
  </sheetViews>
  <sheetFormatPr baseColWidth="10" defaultRowHeight="16" x14ac:dyDescent="0.2"/>
  <cols>
    <col min="1" max="1" width="10.83203125" style="2"/>
    <col min="2" max="2" width="25.83203125" style="2" customWidth="1"/>
    <col min="3" max="3" width="10.83203125" style="2"/>
    <col min="4" max="8" width="14.83203125" style="2" bestFit="1" customWidth="1"/>
    <col min="9" max="10" width="10.83203125" style="2"/>
    <col min="11" max="11" width="100.83203125" style="2" customWidth="1"/>
    <col min="12" max="16384" width="10.83203125" style="2"/>
  </cols>
  <sheetData>
    <row r="1" spans="2:11" x14ac:dyDescent="0.2">
      <c r="K1" s="26" t="s">
        <v>38</v>
      </c>
    </row>
    <row r="2" spans="2:11" ht="85" x14ac:dyDescent="0.2">
      <c r="K2" s="1" t="s">
        <v>113</v>
      </c>
    </row>
    <row r="3" spans="2:11" x14ac:dyDescent="0.2">
      <c r="K3" s="1"/>
    </row>
    <row r="4" spans="2:11" x14ac:dyDescent="0.2">
      <c r="B4" s="26" t="s">
        <v>23</v>
      </c>
      <c r="K4" s="26" t="s">
        <v>39</v>
      </c>
    </row>
    <row r="5" spans="2:11" ht="85" x14ac:dyDescent="0.2">
      <c r="K5" s="1" t="s">
        <v>119</v>
      </c>
    </row>
    <row r="6" spans="2:11" x14ac:dyDescent="0.2">
      <c r="B6" s="2" t="s">
        <v>24</v>
      </c>
      <c r="C6" s="2">
        <v>69916</v>
      </c>
      <c r="K6" s="1"/>
    </row>
    <row r="7" spans="2:11" x14ac:dyDescent="0.2">
      <c r="K7" s="1"/>
    </row>
    <row r="8" spans="2:11" x14ac:dyDescent="0.2">
      <c r="D8" s="18" t="s">
        <v>30</v>
      </c>
      <c r="E8" s="18" t="s">
        <v>31</v>
      </c>
      <c r="F8" s="18" t="s">
        <v>32</v>
      </c>
      <c r="G8" s="18" t="s">
        <v>33</v>
      </c>
      <c r="H8" s="18" t="s">
        <v>34</v>
      </c>
      <c r="K8" s="1"/>
    </row>
    <row r="9" spans="2:11" x14ac:dyDescent="0.2">
      <c r="B9" s="2" t="s">
        <v>25</v>
      </c>
      <c r="C9" s="19"/>
      <c r="D9" s="19">
        <v>2.5000000000000001E-2</v>
      </c>
      <c r="E9" s="19">
        <v>2.5000000000000001E-2</v>
      </c>
      <c r="F9" s="19">
        <v>2.5000000000000001E-2</v>
      </c>
      <c r="G9" s="19">
        <v>2.5000000000000001E-2</v>
      </c>
      <c r="H9" s="19">
        <v>2.5000000000000001E-2</v>
      </c>
      <c r="K9" s="1"/>
    </row>
    <row r="10" spans="2:11" x14ac:dyDescent="0.2">
      <c r="B10" s="2" t="s">
        <v>26</v>
      </c>
      <c r="C10" s="19"/>
      <c r="D10" s="19">
        <v>4.4999999999999998E-2</v>
      </c>
      <c r="E10" s="19">
        <v>4.4999999999999998E-2</v>
      </c>
      <c r="F10" s="19">
        <v>4.4999999999999998E-2</v>
      </c>
      <c r="G10" s="19">
        <v>4.4999999999999998E-2</v>
      </c>
      <c r="H10" s="19">
        <v>4.4999999999999998E-2</v>
      </c>
      <c r="K10" s="1"/>
    </row>
    <row r="11" spans="2:11" x14ac:dyDescent="0.2">
      <c r="B11" s="2" t="s">
        <v>27</v>
      </c>
      <c r="C11" s="19"/>
      <c r="D11" s="19">
        <v>2.5000000000000001E-2</v>
      </c>
      <c r="E11" s="19">
        <v>2.5000000000000001E-2</v>
      </c>
      <c r="F11" s="19">
        <v>2.5000000000000001E-2</v>
      </c>
      <c r="G11" s="19">
        <v>2.5000000000000001E-2</v>
      </c>
      <c r="H11" s="19">
        <v>2.5000000000000001E-2</v>
      </c>
      <c r="K11" s="1"/>
    </row>
    <row r="12" spans="2:11" x14ac:dyDescent="0.2">
      <c r="B12" s="2" t="s">
        <v>28</v>
      </c>
      <c r="C12" s="19"/>
      <c r="D12" s="19">
        <v>2.1999999999999999E-2</v>
      </c>
      <c r="E12" s="19">
        <v>2.1999999999999999E-2</v>
      </c>
      <c r="F12" s="19">
        <v>2.1999999999999999E-2</v>
      </c>
      <c r="G12" s="19">
        <v>2.1999999999999999E-2</v>
      </c>
      <c r="H12" s="19">
        <v>2.1999999999999999E-2</v>
      </c>
      <c r="K12" s="1"/>
    </row>
    <row r="13" spans="2:11" x14ac:dyDescent="0.2">
      <c r="B13" s="2" t="s">
        <v>29</v>
      </c>
      <c r="C13" s="19"/>
      <c r="D13" s="19">
        <v>1.2E-2</v>
      </c>
      <c r="E13" s="19">
        <v>1.2E-2</v>
      </c>
      <c r="F13" s="19">
        <v>1.2E-2</v>
      </c>
      <c r="G13" s="19">
        <v>1.2E-2</v>
      </c>
      <c r="H13" s="19">
        <v>1.2E-2</v>
      </c>
      <c r="K13" s="1"/>
    </row>
    <row r="14" spans="2:11" x14ac:dyDescent="0.2">
      <c r="B14" s="2" t="s">
        <v>35</v>
      </c>
      <c r="C14" s="20"/>
      <c r="D14" s="20">
        <f>WACC!C13</f>
        <v>0.25</v>
      </c>
      <c r="E14" s="20">
        <f>WACC!C13</f>
        <v>0.25</v>
      </c>
      <c r="F14" s="20">
        <f>WACC!C13</f>
        <v>0.25</v>
      </c>
      <c r="G14" s="20">
        <f>WACC!C13</f>
        <v>0.25</v>
      </c>
      <c r="H14" s="20">
        <f>WACC!C13</f>
        <v>0.25</v>
      </c>
      <c r="K14" s="1"/>
    </row>
    <row r="15" spans="2:11" x14ac:dyDescent="0.2">
      <c r="K15" s="1"/>
    </row>
    <row r="16" spans="2:11" x14ac:dyDescent="0.2">
      <c r="B16" s="26" t="s">
        <v>36</v>
      </c>
      <c r="K16" s="26" t="s">
        <v>40</v>
      </c>
    </row>
    <row r="17" spans="2:11" ht="238" x14ac:dyDescent="0.2">
      <c r="D17" s="18" t="s">
        <v>37</v>
      </c>
      <c r="E17" s="18" t="s">
        <v>31</v>
      </c>
      <c r="F17" s="18" t="s">
        <v>32</v>
      </c>
      <c r="G17" s="18" t="s">
        <v>33</v>
      </c>
      <c r="H17" s="18" t="s">
        <v>34</v>
      </c>
      <c r="K17" s="1" t="s">
        <v>120</v>
      </c>
    </row>
    <row r="18" spans="2:11" x14ac:dyDescent="0.2">
      <c r="B18" s="2" t="s">
        <v>41</v>
      </c>
      <c r="C18" s="18"/>
      <c r="D18" s="8">
        <f>(C6*(1+D9))</f>
        <v>71663.899999999994</v>
      </c>
      <c r="E18" s="8">
        <f>(D18*(1+E9))</f>
        <v>73455.497499999983</v>
      </c>
      <c r="F18" s="8">
        <f t="shared" ref="F18:H18" si="0">(E18*(1+F9))</f>
        <v>75291.88493749997</v>
      </c>
      <c r="G18" s="8">
        <f t="shared" si="0"/>
        <v>77174.182060937455</v>
      </c>
      <c r="H18" s="8">
        <f t="shared" si="0"/>
        <v>79103.536612460884</v>
      </c>
      <c r="K18" s="1"/>
    </row>
    <row r="19" spans="2:11" x14ac:dyDescent="0.2">
      <c r="B19" s="2" t="s">
        <v>42</v>
      </c>
      <c r="D19" s="5">
        <f>(D18*D10)</f>
        <v>3224.8754999999996</v>
      </c>
      <c r="E19" s="5">
        <f t="shared" ref="E19:H19" si="1">(E18*E10)</f>
        <v>3305.4973874999991</v>
      </c>
      <c r="F19" s="5">
        <f t="shared" si="1"/>
        <v>3388.1348221874987</v>
      </c>
      <c r="G19" s="5">
        <f t="shared" si="1"/>
        <v>3472.8381927421856</v>
      </c>
      <c r="H19" s="5">
        <f t="shared" si="1"/>
        <v>3559.6591475607397</v>
      </c>
      <c r="K19" s="1"/>
    </row>
    <row r="20" spans="2:11" x14ac:dyDescent="0.2">
      <c r="B20" s="2" t="s">
        <v>43</v>
      </c>
      <c r="D20" s="8">
        <f>-D19*D$14</f>
        <v>-806.21887499999991</v>
      </c>
      <c r="E20" s="8">
        <f t="shared" ref="E20:H20" si="2">-E19*E$14</f>
        <v>-826.37434687499979</v>
      </c>
      <c r="F20" s="8">
        <f t="shared" si="2"/>
        <v>-847.03370554687467</v>
      </c>
      <c r="G20" s="8">
        <f t="shared" si="2"/>
        <v>-868.2095481855464</v>
      </c>
      <c r="H20" s="8">
        <f t="shared" si="2"/>
        <v>-889.91478689018493</v>
      </c>
      <c r="K20" s="1"/>
    </row>
    <row r="21" spans="2:11" x14ac:dyDescent="0.2">
      <c r="B21" s="2" t="s">
        <v>44</v>
      </c>
      <c r="D21" s="8">
        <f>D19+D20</f>
        <v>2418.6566249999996</v>
      </c>
      <c r="E21" s="8">
        <f t="shared" ref="E21:H21" si="3">E19+E20</f>
        <v>2479.1230406249992</v>
      </c>
      <c r="F21" s="8">
        <f t="shared" si="3"/>
        <v>2541.1011166406242</v>
      </c>
      <c r="G21" s="8">
        <f t="shared" si="3"/>
        <v>2604.6286445566393</v>
      </c>
      <c r="H21" s="8">
        <f t="shared" si="3"/>
        <v>2669.7443606705547</v>
      </c>
      <c r="K21" s="1"/>
    </row>
    <row r="22" spans="2:11" x14ac:dyDescent="0.2">
      <c r="B22" s="2" t="s">
        <v>45</v>
      </c>
      <c r="D22" s="8">
        <f>D18*D11</f>
        <v>1791.5974999999999</v>
      </c>
      <c r="E22" s="8">
        <f t="shared" ref="E22:H22" si="4">E18*E11</f>
        <v>1836.3874374999996</v>
      </c>
      <c r="F22" s="8">
        <f t="shared" si="4"/>
        <v>1882.2971234374993</v>
      </c>
      <c r="G22" s="8">
        <f t="shared" si="4"/>
        <v>1929.3545515234364</v>
      </c>
      <c r="H22" s="8">
        <f t="shared" si="4"/>
        <v>1977.5884153115221</v>
      </c>
      <c r="K22" s="1"/>
    </row>
    <row r="23" spans="2:11" x14ac:dyDescent="0.2">
      <c r="B23" s="2" t="s">
        <v>46</v>
      </c>
      <c r="D23" s="8">
        <f>-D18*D12</f>
        <v>-1576.6057999999998</v>
      </c>
      <c r="E23" s="8">
        <f t="shared" ref="E23:H23" si="5">-E18*E12</f>
        <v>-1616.0209449999995</v>
      </c>
      <c r="F23" s="8">
        <f t="shared" si="5"/>
        <v>-1656.4214686249993</v>
      </c>
      <c r="G23" s="8">
        <f t="shared" si="5"/>
        <v>-1697.8320053406239</v>
      </c>
      <c r="H23" s="8">
        <f t="shared" si="5"/>
        <v>-1740.2778054741393</v>
      </c>
      <c r="K23" s="1"/>
    </row>
    <row r="24" spans="2:11" x14ac:dyDescent="0.2">
      <c r="B24" s="2" t="s">
        <v>47</v>
      </c>
      <c r="D24" s="8">
        <f>-(D18-$C$6)*D13</f>
        <v>-20.974799999999931</v>
      </c>
      <c r="E24" s="8">
        <f>-(E18-D18)*E13</f>
        <v>-21.499169999999868</v>
      </c>
      <c r="F24" s="8">
        <f t="shared" ref="F24:H24" si="6">-(F18-E18)*F13</f>
        <v>-22.036649249999844</v>
      </c>
      <c r="G24" s="8">
        <f t="shared" si="6"/>
        <v>-22.587565481249825</v>
      </c>
      <c r="H24" s="8">
        <f t="shared" si="6"/>
        <v>-23.152254618281148</v>
      </c>
      <c r="K24" s="1"/>
    </row>
    <row r="25" spans="2:11" x14ac:dyDescent="0.2">
      <c r="B25" s="2" t="s">
        <v>48</v>
      </c>
      <c r="D25" s="5">
        <f>D21+D22+D23+D24</f>
        <v>2612.6735249999997</v>
      </c>
      <c r="E25" s="5">
        <f t="shared" ref="E25:H25" si="7">E21+E22+E23+E24</f>
        <v>2677.9903631249999</v>
      </c>
      <c r="F25" s="5">
        <f t="shared" si="7"/>
        <v>2744.9401222031242</v>
      </c>
      <c r="G25" s="5">
        <f t="shared" si="7"/>
        <v>2813.5636252582017</v>
      </c>
      <c r="H25" s="5">
        <f t="shared" si="7"/>
        <v>2883.9027158896565</v>
      </c>
      <c r="K25" s="1"/>
    </row>
    <row r="26" spans="2:11" x14ac:dyDescent="0.2">
      <c r="D26" s="18"/>
      <c r="E26" s="18"/>
      <c r="F26" s="18"/>
      <c r="G26" s="18"/>
      <c r="H26" s="18"/>
      <c r="K26" s="1"/>
    </row>
    <row r="27" spans="2:11" x14ac:dyDescent="0.2">
      <c r="D27" s="18"/>
      <c r="E27" s="18"/>
      <c r="F27" s="18"/>
      <c r="G27" s="18"/>
      <c r="H27" s="18"/>
      <c r="K27" s="1"/>
    </row>
    <row r="28" spans="2:11" x14ac:dyDescent="0.2">
      <c r="D28" s="18"/>
      <c r="E28" s="18"/>
      <c r="F28" s="18"/>
      <c r="G28" s="18"/>
      <c r="H28" s="18"/>
      <c r="K28" s="1"/>
    </row>
    <row r="29" spans="2:11" x14ac:dyDescent="0.2">
      <c r="D29" s="18"/>
      <c r="E29" s="18"/>
      <c r="F29" s="18"/>
      <c r="G29" s="18"/>
      <c r="H29" s="18"/>
      <c r="K29" s="1"/>
    </row>
    <row r="30" spans="2:11" x14ac:dyDescent="0.2">
      <c r="K30" s="1"/>
    </row>
    <row r="31" spans="2:11" x14ac:dyDescent="0.2">
      <c r="K31" s="1"/>
    </row>
    <row r="32" spans="2:11" x14ac:dyDescent="0.2">
      <c r="K32" s="1"/>
    </row>
    <row r="33" spans="11:11" x14ac:dyDescent="0.2">
      <c r="K33" s="1"/>
    </row>
    <row r="34" spans="11:11" x14ac:dyDescent="0.2">
      <c r="K34" s="1"/>
    </row>
    <row r="35" spans="11:11" x14ac:dyDescent="0.2">
      <c r="K35" s="1"/>
    </row>
    <row r="36" spans="11:11" x14ac:dyDescent="0.2">
      <c r="K36" s="1"/>
    </row>
    <row r="37" spans="11:11" x14ac:dyDescent="0.2">
      <c r="K37" s="1"/>
    </row>
    <row r="38" spans="11:11" x14ac:dyDescent="0.2">
      <c r="K38" s="1"/>
    </row>
    <row r="39" spans="11:11" x14ac:dyDescent="0.2">
      <c r="K39" s="1"/>
    </row>
    <row r="40" spans="11:11" x14ac:dyDescent="0.2">
      <c r="K40" s="1"/>
    </row>
    <row r="41" spans="11:11" x14ac:dyDescent="0.2">
      <c r="K41" s="1"/>
    </row>
    <row r="42" spans="11:11" x14ac:dyDescent="0.2">
      <c r="K42" s="1"/>
    </row>
    <row r="43" spans="11:11" x14ac:dyDescent="0.2">
      <c r="K43" s="1"/>
    </row>
    <row r="44" spans="11:11" x14ac:dyDescent="0.2">
      <c r="K44" s="1"/>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5FC3-B574-564D-B23B-BF410592C8BF}">
  <dimension ref="A1:K60"/>
  <sheetViews>
    <sheetView showGridLines="0" topLeftCell="A12" zoomScale="107" workbookViewId="0">
      <selection activeCell="C24" sqref="C24"/>
    </sheetView>
  </sheetViews>
  <sheetFormatPr baseColWidth="10" defaultRowHeight="16" x14ac:dyDescent="0.2"/>
  <cols>
    <col min="1" max="1" width="10.83203125" style="2"/>
    <col min="2" max="2" width="25.83203125" style="2" customWidth="1"/>
    <col min="3" max="3" width="12.5" style="2" customWidth="1"/>
    <col min="4" max="8" width="11" style="2" bestFit="1" customWidth="1"/>
    <col min="9" max="10" width="10.83203125" style="2"/>
    <col min="11" max="11" width="100.83203125" style="2" customWidth="1"/>
    <col min="12" max="16384" width="10.83203125" style="2"/>
  </cols>
  <sheetData>
    <row r="1" spans="1:11" x14ac:dyDescent="0.2">
      <c r="A1" s="5"/>
      <c r="B1" s="5"/>
      <c r="C1" s="5"/>
      <c r="D1" s="5"/>
      <c r="E1" s="5"/>
      <c r="F1" s="5"/>
      <c r="G1" s="5"/>
      <c r="H1" s="5"/>
      <c r="I1" s="5"/>
    </row>
    <row r="2" spans="1:11" ht="19" x14ac:dyDescent="0.2">
      <c r="A2" s="5"/>
      <c r="B2" s="27" t="s">
        <v>49</v>
      </c>
      <c r="C2" s="5"/>
      <c r="D2" s="5"/>
      <c r="E2" s="5"/>
      <c r="F2" s="5"/>
      <c r="G2" s="5"/>
      <c r="H2" s="5"/>
      <c r="I2" s="5"/>
      <c r="K2" s="28" t="s">
        <v>60</v>
      </c>
    </row>
    <row r="3" spans="1:11" ht="85" x14ac:dyDescent="0.2">
      <c r="A3" s="5"/>
      <c r="B3" s="5"/>
      <c r="C3" s="5"/>
      <c r="D3" s="5"/>
      <c r="E3" s="5"/>
      <c r="F3" s="5"/>
      <c r="G3" s="5"/>
      <c r="H3" s="5"/>
      <c r="I3" s="5"/>
      <c r="K3" s="1" t="s">
        <v>115</v>
      </c>
    </row>
    <row r="4" spans="1:11" ht="18" x14ac:dyDescent="0.2">
      <c r="A4" s="5"/>
      <c r="B4" s="27" t="s">
        <v>50</v>
      </c>
      <c r="C4" s="5"/>
      <c r="D4" s="5"/>
      <c r="E4" s="5"/>
      <c r="F4" s="5"/>
      <c r="G4" s="5"/>
      <c r="H4" s="5"/>
      <c r="I4" s="5"/>
    </row>
    <row r="5" spans="1:11" x14ac:dyDescent="0.2">
      <c r="A5" s="5"/>
      <c r="B5" s="5" t="s">
        <v>51</v>
      </c>
      <c r="C5" s="7">
        <f>(WACC!C24)</f>
        <v>6.9422596492727001E-2</v>
      </c>
      <c r="D5" s="5"/>
      <c r="E5" s="5"/>
      <c r="F5" s="5"/>
      <c r="G5" s="5"/>
      <c r="H5" s="5"/>
      <c r="I5" s="5"/>
    </row>
    <row r="6" spans="1:11" x14ac:dyDescent="0.2">
      <c r="A6" s="5"/>
      <c r="B6" s="5"/>
      <c r="C6" s="5"/>
      <c r="D6" s="5"/>
      <c r="E6" s="5"/>
      <c r="F6" s="5"/>
      <c r="G6" s="5"/>
      <c r="H6" s="5"/>
      <c r="I6" s="5"/>
    </row>
    <row r="7" spans="1:11" x14ac:dyDescent="0.2">
      <c r="A7" s="5"/>
      <c r="B7" s="5"/>
      <c r="C7" s="8" t="s">
        <v>67</v>
      </c>
      <c r="D7" s="8" t="s">
        <v>52</v>
      </c>
      <c r="E7" s="8" t="s">
        <v>53</v>
      </c>
      <c r="F7" s="8" t="s">
        <v>54</v>
      </c>
      <c r="G7" s="8" t="s">
        <v>55</v>
      </c>
      <c r="H7" s="8" t="s">
        <v>56</v>
      </c>
      <c r="I7" s="5"/>
    </row>
    <row r="8" spans="1:11" x14ac:dyDescent="0.2">
      <c r="A8" s="5"/>
      <c r="B8" s="5" t="s">
        <v>48</v>
      </c>
      <c r="C8" s="5"/>
      <c r="D8" s="8">
        <f>'Free Cash Flow'!D25</f>
        <v>2612.6735249999997</v>
      </c>
      <c r="E8" s="8">
        <f>'Free Cash Flow'!E25</f>
        <v>2677.9903631249999</v>
      </c>
      <c r="F8" s="8">
        <f>'Free Cash Flow'!F25</f>
        <v>2744.9401222031242</v>
      </c>
      <c r="G8" s="8">
        <f>'Free Cash Flow'!G25</f>
        <v>2813.5636252582017</v>
      </c>
      <c r="H8" s="8">
        <f>'Free Cash Flow'!H25</f>
        <v>2883.9027158896565</v>
      </c>
      <c r="I8" s="5"/>
    </row>
    <row r="9" spans="1:11" x14ac:dyDescent="0.2">
      <c r="A9" s="5"/>
      <c r="B9" s="5" t="s">
        <v>57</v>
      </c>
      <c r="C9" s="5"/>
      <c r="D9" s="8">
        <v>1</v>
      </c>
      <c r="E9" s="8">
        <v>2</v>
      </c>
      <c r="F9" s="8">
        <v>3</v>
      </c>
      <c r="G9" s="8">
        <v>4</v>
      </c>
      <c r="H9" s="8">
        <v>5</v>
      </c>
      <c r="I9" s="5"/>
    </row>
    <row r="10" spans="1:11" x14ac:dyDescent="0.2">
      <c r="A10" s="5"/>
      <c r="B10" s="5" t="s">
        <v>109</v>
      </c>
      <c r="C10" s="5"/>
      <c r="D10" s="8">
        <f>1/(1+$C$5)^D9</f>
        <v>0.93508403813384433</v>
      </c>
      <c r="E10" s="8">
        <f t="shared" ref="E10:H10" si="0">1/(1+$C$5)^E9</f>
        <v>0.87438215837269673</v>
      </c>
      <c r="F10" s="8">
        <f t="shared" si="0"/>
        <v>0.81762079952332789</v>
      </c>
      <c r="G10" s="8">
        <f t="shared" si="0"/>
        <v>0.76454415888049576</v>
      </c>
      <c r="H10" s="8">
        <f t="shared" si="0"/>
        <v>0.71491303941761741</v>
      </c>
      <c r="I10" s="5"/>
    </row>
    <row r="11" spans="1:11" x14ac:dyDescent="0.2">
      <c r="A11" s="5"/>
      <c r="B11" s="5" t="s">
        <v>58</v>
      </c>
      <c r="C11" s="5"/>
      <c r="D11" s="8">
        <f>D8*D10</f>
        <v>2443.0693100823851</v>
      </c>
      <c r="E11" s="8">
        <f t="shared" ref="E11:H11" si="1">E8*E10</f>
        <v>2341.5869938105193</v>
      </c>
      <c r="F11" s="8">
        <f t="shared" si="1"/>
        <v>2244.3201373593797</v>
      </c>
      <c r="G11" s="8">
        <f t="shared" si="1"/>
        <v>2151.0936353297902</v>
      </c>
      <c r="H11" s="8">
        <f t="shared" si="1"/>
        <v>2061.7396560013958</v>
      </c>
      <c r="I11" s="5"/>
    </row>
    <row r="12" spans="1:11" ht="18" x14ac:dyDescent="0.2">
      <c r="A12" s="5"/>
      <c r="B12" s="27" t="s">
        <v>59</v>
      </c>
      <c r="C12" s="5">
        <f>SUM(D11:H11)</f>
        <v>11241.809732583468</v>
      </c>
      <c r="D12" s="9"/>
      <c r="E12" s="8"/>
      <c r="F12" s="8"/>
      <c r="G12" s="8"/>
      <c r="H12" s="8"/>
      <c r="I12" s="5"/>
    </row>
    <row r="13" spans="1:11" ht="19" x14ac:dyDescent="0.2">
      <c r="A13" s="5"/>
      <c r="B13" s="5"/>
      <c r="C13" s="5"/>
      <c r="D13" s="8"/>
      <c r="E13" s="8"/>
      <c r="F13" s="8"/>
      <c r="G13" s="8"/>
      <c r="H13" s="8"/>
      <c r="I13" s="5"/>
      <c r="K13" s="28" t="s">
        <v>62</v>
      </c>
    </row>
    <row r="14" spans="1:11" ht="119" x14ac:dyDescent="0.2">
      <c r="A14" s="5"/>
      <c r="B14" s="27" t="s">
        <v>61</v>
      </c>
      <c r="C14" s="5"/>
      <c r="D14" s="8"/>
      <c r="E14" s="8"/>
      <c r="F14" s="8"/>
      <c r="G14" s="8"/>
      <c r="H14" s="8"/>
      <c r="I14" s="5"/>
      <c r="K14" s="1" t="s">
        <v>117</v>
      </c>
    </row>
    <row r="15" spans="1:11" ht="18" x14ac:dyDescent="0.2">
      <c r="A15" s="5"/>
      <c r="B15" s="27" t="s">
        <v>63</v>
      </c>
      <c r="C15" s="5"/>
      <c r="D15" s="8"/>
      <c r="E15" s="8"/>
      <c r="F15" s="8"/>
      <c r="G15" s="8"/>
      <c r="H15" s="8"/>
      <c r="I15" s="5"/>
      <c r="K15" s="1"/>
    </row>
    <row r="16" spans="1:11" x14ac:dyDescent="0.2">
      <c r="A16" s="5"/>
      <c r="B16" s="5" t="s">
        <v>64</v>
      </c>
      <c r="C16" s="5">
        <f>'Free Cash Flow'!H19+'Free Cash Flow'!H22</f>
        <v>5537.2475628722623</v>
      </c>
      <c r="D16" s="8"/>
      <c r="E16" s="8"/>
      <c r="F16" s="8"/>
      <c r="G16" s="8"/>
      <c r="H16" s="8"/>
      <c r="I16" s="5"/>
    </row>
    <row r="17" spans="1:11" x14ac:dyDescent="0.2">
      <c r="A17" s="5"/>
      <c r="B17" s="5" t="s">
        <v>110</v>
      </c>
      <c r="C17" s="5">
        <v>6.5</v>
      </c>
      <c r="D17" s="8"/>
      <c r="E17" s="8"/>
      <c r="F17" s="8"/>
      <c r="G17" s="8"/>
      <c r="H17" s="8"/>
      <c r="I17" s="5"/>
    </row>
    <row r="18" spans="1:11" x14ac:dyDescent="0.2">
      <c r="A18" s="5"/>
      <c r="B18" s="5" t="s">
        <v>66</v>
      </c>
      <c r="C18" s="5">
        <f>C16*C17</f>
        <v>35992.109158669708</v>
      </c>
      <c r="D18" s="8"/>
      <c r="E18" s="8"/>
      <c r="F18" s="8"/>
      <c r="G18" s="8"/>
      <c r="H18" s="8"/>
      <c r="I18" s="5"/>
    </row>
    <row r="19" spans="1:11" x14ac:dyDescent="0.2">
      <c r="A19" s="5"/>
      <c r="B19" s="5" t="s">
        <v>65</v>
      </c>
      <c r="C19" s="5">
        <f>C18*H10</f>
        <v>25731.228153675227</v>
      </c>
      <c r="D19" s="8"/>
      <c r="E19" s="8"/>
      <c r="F19" s="8"/>
      <c r="G19" s="8"/>
      <c r="H19" s="8"/>
      <c r="I19" s="5"/>
    </row>
    <row r="20" spans="1:11" x14ac:dyDescent="0.2">
      <c r="A20" s="5"/>
      <c r="B20" s="5"/>
      <c r="C20" s="5"/>
      <c r="D20" s="8"/>
      <c r="E20" s="8"/>
      <c r="F20" s="8"/>
      <c r="G20" s="8"/>
      <c r="H20" s="8"/>
      <c r="I20" s="5"/>
    </row>
    <row r="21" spans="1:11" ht="38" x14ac:dyDescent="0.2">
      <c r="A21" s="5"/>
      <c r="B21" s="28" t="s">
        <v>116</v>
      </c>
      <c r="C21" s="5"/>
      <c r="D21" s="8"/>
      <c r="E21" s="8"/>
      <c r="F21" s="8"/>
      <c r="G21" s="8"/>
      <c r="H21" s="8"/>
      <c r="I21" s="5"/>
    </row>
    <row r="22" spans="1:11" x14ac:dyDescent="0.2">
      <c r="A22" s="5"/>
      <c r="B22" s="5" t="s">
        <v>68</v>
      </c>
      <c r="C22" s="5">
        <f>H8</f>
        <v>2883.9027158896565</v>
      </c>
      <c r="D22" s="8"/>
      <c r="E22" s="8"/>
      <c r="F22" s="8"/>
      <c r="G22" s="8"/>
      <c r="H22" s="8"/>
      <c r="I22" s="5"/>
    </row>
    <row r="23" spans="1:11" x14ac:dyDescent="0.2">
      <c r="A23" s="5"/>
      <c r="B23" s="5" t="s">
        <v>69</v>
      </c>
      <c r="C23" s="10">
        <v>0.02</v>
      </c>
      <c r="D23" s="8"/>
      <c r="E23" s="8"/>
      <c r="F23" s="8"/>
      <c r="G23" s="8"/>
      <c r="H23" s="8"/>
      <c r="I23" s="5"/>
    </row>
    <row r="24" spans="1:11" x14ac:dyDescent="0.2">
      <c r="A24" s="5"/>
      <c r="B24" s="5" t="s">
        <v>66</v>
      </c>
      <c r="C24" s="5">
        <f>C22*(1+C23)/($C$5-C23)</f>
        <v>59518.944348468845</v>
      </c>
      <c r="D24" s="8"/>
      <c r="E24" s="8"/>
      <c r="F24" s="8"/>
      <c r="G24" s="8"/>
      <c r="H24" s="8"/>
      <c r="I24" s="5"/>
    </row>
    <row r="25" spans="1:11" x14ac:dyDescent="0.2">
      <c r="A25" s="5"/>
      <c r="B25" s="5" t="s">
        <v>70</v>
      </c>
      <c r="C25" s="5">
        <f>C24*H10</f>
        <v>42550.869407091886</v>
      </c>
      <c r="D25" s="8"/>
      <c r="E25" s="8"/>
      <c r="F25" s="8"/>
      <c r="G25" s="8"/>
      <c r="H25" s="8"/>
      <c r="I25" s="5"/>
    </row>
    <row r="26" spans="1:11" x14ac:dyDescent="0.2">
      <c r="A26" s="5"/>
      <c r="B26" s="5"/>
      <c r="C26" s="5"/>
      <c r="D26" s="5"/>
      <c r="E26" s="5"/>
      <c r="F26" s="5"/>
      <c r="G26" s="5"/>
      <c r="H26" s="5"/>
      <c r="I26" s="5"/>
    </row>
    <row r="27" spans="1:11" x14ac:dyDescent="0.2">
      <c r="A27" s="5"/>
      <c r="B27" s="5" t="s">
        <v>71</v>
      </c>
      <c r="C27" s="5" t="s">
        <v>73</v>
      </c>
      <c r="D27" s="5"/>
      <c r="E27" s="5"/>
      <c r="F27" s="5"/>
      <c r="G27" s="5"/>
      <c r="H27" s="5"/>
      <c r="I27" s="5"/>
    </row>
    <row r="28" spans="1:11" x14ac:dyDescent="0.2">
      <c r="A28" s="5"/>
      <c r="B28" s="5" t="s">
        <v>72</v>
      </c>
      <c r="C28" s="5">
        <f>IF(C27="PGM",C25,C19)</f>
        <v>42550.869407091886</v>
      </c>
      <c r="D28" s="5"/>
      <c r="E28" s="5"/>
      <c r="F28" s="5"/>
      <c r="G28" s="5"/>
      <c r="H28" s="5"/>
      <c r="I28" s="5"/>
    </row>
    <row r="29" spans="1:11" x14ac:dyDescent="0.2">
      <c r="A29" s="5"/>
      <c r="B29" s="5"/>
      <c r="C29" s="5"/>
      <c r="D29" s="5"/>
      <c r="E29" s="5"/>
      <c r="F29" s="5"/>
      <c r="G29" s="5"/>
      <c r="H29" s="5"/>
      <c r="I29" s="5"/>
    </row>
    <row r="30" spans="1:11" ht="19" x14ac:dyDescent="0.2">
      <c r="A30" s="5"/>
      <c r="B30" s="28" t="s">
        <v>74</v>
      </c>
      <c r="C30" s="5"/>
      <c r="D30" s="5"/>
      <c r="E30" s="5"/>
      <c r="F30" s="5"/>
      <c r="G30" s="5"/>
      <c r="H30" s="5"/>
      <c r="I30" s="5"/>
      <c r="K30" s="28" t="s">
        <v>88</v>
      </c>
    </row>
    <row r="31" spans="1:11" ht="34" x14ac:dyDescent="0.2">
      <c r="A31" s="5"/>
      <c r="B31" s="5" t="s">
        <v>75</v>
      </c>
      <c r="C31" s="5">
        <f>C12</f>
        <v>11241.809732583468</v>
      </c>
      <c r="D31" s="5"/>
      <c r="E31" s="5"/>
      <c r="F31" s="5"/>
      <c r="G31" s="5"/>
      <c r="H31" s="5"/>
      <c r="I31" s="5"/>
      <c r="K31" s="1" t="s">
        <v>89</v>
      </c>
    </row>
    <row r="32" spans="1:11" x14ac:dyDescent="0.2">
      <c r="A32" s="5"/>
      <c r="B32" s="5" t="s">
        <v>65</v>
      </c>
      <c r="C32" s="5">
        <f>C28</f>
        <v>42550.869407091886</v>
      </c>
      <c r="D32" s="5"/>
      <c r="E32" s="5"/>
      <c r="F32" s="5"/>
      <c r="G32" s="5"/>
      <c r="H32" s="5"/>
      <c r="I32" s="5"/>
    </row>
    <row r="33" spans="1:11" x14ac:dyDescent="0.2">
      <c r="A33" s="5"/>
      <c r="B33" s="5" t="s">
        <v>76</v>
      </c>
      <c r="C33" s="5">
        <f>C32+C31</f>
        <v>53792.679139675354</v>
      </c>
      <c r="D33" s="5"/>
      <c r="E33" s="5"/>
      <c r="F33" s="5"/>
      <c r="G33" s="5"/>
      <c r="H33" s="5"/>
      <c r="I33" s="5"/>
    </row>
    <row r="34" spans="1:11" x14ac:dyDescent="0.2">
      <c r="A34" s="5"/>
      <c r="B34" s="5"/>
      <c r="C34" s="5"/>
      <c r="D34" s="5"/>
      <c r="E34" s="5"/>
      <c r="F34" s="5"/>
      <c r="G34" s="5"/>
      <c r="H34" s="5"/>
      <c r="I34" s="5"/>
    </row>
    <row r="35" spans="1:11" ht="19" x14ac:dyDescent="0.2">
      <c r="A35" s="5"/>
      <c r="B35" s="28" t="s">
        <v>77</v>
      </c>
      <c r="C35" s="5"/>
      <c r="D35" s="5"/>
      <c r="E35" s="5"/>
      <c r="F35" s="5"/>
      <c r="G35" s="5"/>
      <c r="H35" s="5"/>
      <c r="I35" s="5"/>
      <c r="K35" s="28" t="s">
        <v>90</v>
      </c>
    </row>
    <row r="36" spans="1:11" ht="51" x14ac:dyDescent="0.2">
      <c r="A36" s="5"/>
      <c r="B36" s="5" t="s">
        <v>78</v>
      </c>
      <c r="C36" s="5">
        <f>C33</f>
        <v>53792.679139675354</v>
      </c>
      <c r="D36" s="5"/>
      <c r="E36" s="5"/>
      <c r="F36" s="5"/>
      <c r="G36" s="5"/>
      <c r="H36" s="5"/>
      <c r="I36" s="5"/>
      <c r="K36" s="1" t="s">
        <v>114</v>
      </c>
    </row>
    <row r="37" spans="1:11" x14ac:dyDescent="0.2">
      <c r="A37" s="5"/>
      <c r="B37" s="5" t="s">
        <v>79</v>
      </c>
      <c r="C37" s="5">
        <v>-9454</v>
      </c>
      <c r="D37" s="5"/>
      <c r="E37" s="5"/>
      <c r="F37" s="5"/>
      <c r="G37" s="5"/>
      <c r="H37" s="5"/>
      <c r="I37" s="5"/>
    </row>
    <row r="38" spans="1:11" x14ac:dyDescent="0.2">
      <c r="A38" s="5"/>
      <c r="B38" s="5" t="s">
        <v>80</v>
      </c>
      <c r="C38" s="5">
        <v>0</v>
      </c>
      <c r="D38" s="5"/>
      <c r="E38" s="5"/>
      <c r="F38" s="5"/>
      <c r="G38" s="5"/>
      <c r="H38" s="5"/>
      <c r="I38" s="5"/>
    </row>
    <row r="39" spans="1:11" x14ac:dyDescent="0.2">
      <c r="A39" s="5"/>
      <c r="B39" s="5" t="s">
        <v>81</v>
      </c>
      <c r="C39" s="5">
        <v>-4</v>
      </c>
      <c r="D39" s="5"/>
      <c r="E39" s="5"/>
      <c r="F39" s="5"/>
      <c r="G39" s="5"/>
      <c r="H39" s="5"/>
      <c r="I39" s="5"/>
    </row>
    <row r="40" spans="1:11" x14ac:dyDescent="0.2">
      <c r="A40" s="5"/>
      <c r="B40" s="5" t="s">
        <v>82</v>
      </c>
      <c r="C40" s="5">
        <f>SUM(C36:C39)</f>
        <v>44334.679139675354</v>
      </c>
      <c r="D40" s="5"/>
      <c r="E40" s="5"/>
      <c r="F40" s="5"/>
      <c r="G40" s="5"/>
      <c r="H40" s="5"/>
      <c r="I40" s="5"/>
    </row>
    <row r="41" spans="1:11" x14ac:dyDescent="0.2">
      <c r="A41" s="5"/>
      <c r="B41" s="5"/>
      <c r="C41" s="5"/>
      <c r="D41" s="5"/>
      <c r="E41" s="5"/>
      <c r="F41" s="5"/>
      <c r="G41" s="5"/>
      <c r="H41" s="5"/>
      <c r="I41" s="5"/>
    </row>
    <row r="42" spans="1:11" ht="19" x14ac:dyDescent="0.2">
      <c r="A42" s="5"/>
      <c r="B42" s="28" t="s">
        <v>83</v>
      </c>
      <c r="C42" s="5"/>
      <c r="D42" s="5"/>
      <c r="E42" s="5"/>
      <c r="F42" s="5"/>
      <c r="G42" s="5"/>
      <c r="H42" s="5"/>
      <c r="I42" s="5"/>
      <c r="K42" s="28" t="s">
        <v>91</v>
      </c>
    </row>
    <row r="43" spans="1:11" ht="34" x14ac:dyDescent="0.2">
      <c r="A43" s="5"/>
      <c r="B43" s="5" t="s">
        <v>84</v>
      </c>
      <c r="C43" s="5">
        <v>6840.6</v>
      </c>
      <c r="D43" s="5"/>
      <c r="E43" s="5"/>
      <c r="F43" s="5"/>
      <c r="G43" s="5"/>
      <c r="H43" s="5"/>
      <c r="I43" s="5"/>
      <c r="K43" s="1" t="s">
        <v>92</v>
      </c>
    </row>
    <row r="44" spans="1:11" x14ac:dyDescent="0.2">
      <c r="A44" s="5"/>
      <c r="B44" s="5" t="s">
        <v>85</v>
      </c>
      <c r="C44" s="5">
        <f>C40/C43</f>
        <v>6.4811097183982911</v>
      </c>
      <c r="D44" s="5"/>
      <c r="E44" s="5"/>
      <c r="F44" s="5"/>
      <c r="G44" s="5"/>
      <c r="H44" s="5"/>
      <c r="I44" s="5"/>
    </row>
    <row r="45" spans="1:11" x14ac:dyDescent="0.2">
      <c r="A45" s="5"/>
      <c r="B45" s="5" t="s">
        <v>86</v>
      </c>
      <c r="C45" s="5">
        <v>4.7</v>
      </c>
      <c r="D45" s="5"/>
      <c r="E45" s="5"/>
      <c r="F45" s="5"/>
      <c r="G45" s="5"/>
      <c r="H45" s="5"/>
      <c r="I45" s="5"/>
    </row>
    <row r="46" spans="1:11" x14ac:dyDescent="0.2">
      <c r="A46" s="5"/>
      <c r="B46" s="5" t="s">
        <v>87</v>
      </c>
      <c r="C46" s="10">
        <f>C44/C45-1</f>
        <v>0.37895951455282795</v>
      </c>
      <c r="D46" s="5"/>
      <c r="E46" s="5"/>
      <c r="F46" s="5"/>
      <c r="G46" s="5"/>
      <c r="H46" s="5"/>
      <c r="I46" s="5"/>
    </row>
    <row r="47" spans="1:11" x14ac:dyDescent="0.2">
      <c r="A47" s="5"/>
      <c r="B47" s="5"/>
      <c r="C47" s="5"/>
      <c r="D47" s="5"/>
      <c r="E47" s="5"/>
      <c r="F47" s="5"/>
      <c r="G47" s="5"/>
      <c r="H47" s="5"/>
      <c r="I47" s="5"/>
    </row>
    <row r="48" spans="1:11" x14ac:dyDescent="0.2">
      <c r="A48" s="5"/>
      <c r="B48" s="5"/>
      <c r="C48" s="5"/>
      <c r="D48" s="5"/>
      <c r="E48" s="5"/>
      <c r="F48" s="5"/>
      <c r="G48" s="5"/>
      <c r="H48" s="5"/>
      <c r="I48" s="5"/>
    </row>
    <row r="49" spans="1:10" x14ac:dyDescent="0.2">
      <c r="A49" s="5"/>
      <c r="B49" s="5"/>
      <c r="C49" s="5"/>
      <c r="D49" s="5"/>
      <c r="E49" s="5"/>
      <c r="F49" s="5"/>
      <c r="G49" s="5"/>
      <c r="H49" s="5"/>
      <c r="I49" s="5"/>
    </row>
    <row r="50" spans="1:10" ht="19" x14ac:dyDescent="0.2">
      <c r="A50" s="5"/>
      <c r="B50" s="28" t="s">
        <v>93</v>
      </c>
      <c r="C50" s="31"/>
      <c r="D50" s="31"/>
      <c r="E50" s="31"/>
      <c r="F50" s="31"/>
      <c r="G50" s="31"/>
      <c r="H50" s="31"/>
      <c r="I50" s="5"/>
    </row>
    <row r="52" spans="1:10" x14ac:dyDescent="0.2">
      <c r="C52" s="11">
        <f>C44</f>
        <v>6.4811097183982911</v>
      </c>
      <c r="D52" s="12">
        <v>0.01</v>
      </c>
      <c r="E52" s="12">
        <v>1.4999999999999999E-2</v>
      </c>
      <c r="F52" s="12">
        <v>0.02</v>
      </c>
      <c r="G52" s="12">
        <v>2.5000000000000001E-2</v>
      </c>
      <c r="H52" s="13">
        <v>0.03</v>
      </c>
    </row>
    <row r="53" spans="1:10" x14ac:dyDescent="0.2">
      <c r="C53" s="12">
        <v>5.9400000000000001E-2</v>
      </c>
      <c r="D53" s="5">
        <f t="dataTable" ref="D53:H57" dt2D="1" dtr="1" r1="C23" r2="C5"/>
        <v>6.7658873729676587</v>
      </c>
      <c r="E53" s="5">
        <v>7.5288558955807261</v>
      </c>
      <c r="F53" s="5">
        <v>8.4854712513443218</v>
      </c>
      <c r="G53" s="5">
        <v>9.7201724663415199</v>
      </c>
      <c r="H53" s="5">
        <v>11.374840080997627</v>
      </c>
    </row>
    <row r="54" spans="1:10" x14ac:dyDescent="0.2">
      <c r="C54" s="12">
        <v>6.4399999999999999E-2</v>
      </c>
      <c r="D54" s="5">
        <v>6.0125894152574659</v>
      </c>
      <c r="E54" s="5">
        <v>6.6236877526826206</v>
      </c>
      <c r="F54" s="5">
        <v>7.3724208507891209</v>
      </c>
      <c r="G54" s="5">
        <v>8.3111877301409223</v>
      </c>
      <c r="H54" s="5">
        <v>9.522851958141505</v>
      </c>
    </row>
    <row r="55" spans="1:10" x14ac:dyDescent="0.2">
      <c r="C55" s="12">
        <v>6.9400000000000003E-2</v>
      </c>
      <c r="D55" s="5">
        <v>5.3861828139924226</v>
      </c>
      <c r="E55" s="5">
        <v>5.8849643296277963</v>
      </c>
      <c r="F55" s="6">
        <v>6.4847137634079859</v>
      </c>
      <c r="G55" s="5">
        <v>7.2195418984900153</v>
      </c>
      <c r="H55" s="5">
        <v>8.140874636384746</v>
      </c>
      <c r="I55" s="12"/>
      <c r="J55" s="12"/>
    </row>
    <row r="56" spans="1:10" x14ac:dyDescent="0.2">
      <c r="C56" s="12">
        <v>7.4399999999999994E-2</v>
      </c>
      <c r="D56" s="5">
        <v>4.8571104908559226</v>
      </c>
      <c r="E56" s="5">
        <v>5.2706529474781334</v>
      </c>
      <c r="F56" s="5">
        <v>5.7602142380382526</v>
      </c>
      <c r="G56" s="5">
        <v>6.348877004420256</v>
      </c>
      <c r="H56" s="5">
        <v>7.0701214749423507</v>
      </c>
    </row>
    <row r="57" spans="1:10" x14ac:dyDescent="0.2">
      <c r="C57" s="12">
        <v>7.9399999999999998E-2</v>
      </c>
      <c r="D57" s="5">
        <v>4.404333302160703</v>
      </c>
      <c r="E57" s="5">
        <v>4.7517745863544034</v>
      </c>
      <c r="F57" s="5">
        <v>5.1577076692339121</v>
      </c>
      <c r="G57" s="5">
        <v>5.6382608041133304</v>
      </c>
      <c r="H57" s="5">
        <v>6.2160919015189462</v>
      </c>
    </row>
    <row r="58" spans="1:10" x14ac:dyDescent="0.2">
      <c r="E58" s="12"/>
    </row>
    <row r="59" spans="1:10" x14ac:dyDescent="0.2">
      <c r="E59" s="12"/>
    </row>
    <row r="60" spans="1:10" x14ac:dyDescent="0.2">
      <c r="E60" s="12"/>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D63D-83B1-624D-B769-D32BD8EE12A5}">
  <dimension ref="B4:D18"/>
  <sheetViews>
    <sheetView showGridLines="0" tabSelected="1" topLeftCell="A2" zoomScale="125" zoomScaleNormal="125" workbookViewId="0">
      <selection activeCell="B13" sqref="B13"/>
    </sheetView>
  </sheetViews>
  <sheetFormatPr baseColWidth="10" defaultRowHeight="16" x14ac:dyDescent="0.2"/>
  <cols>
    <col min="1" max="1" width="10.83203125" style="2"/>
    <col min="2" max="2" width="32.83203125" style="2" customWidth="1"/>
    <col min="3" max="16384" width="10.83203125" style="2"/>
  </cols>
  <sheetData>
    <row r="4" spans="2:3" x14ac:dyDescent="0.2">
      <c r="B4" s="26" t="s">
        <v>94</v>
      </c>
      <c r="C4" s="29" t="s">
        <v>95</v>
      </c>
    </row>
    <row r="5" spans="2:3" x14ac:dyDescent="0.2">
      <c r="B5" s="2" t="s">
        <v>96</v>
      </c>
      <c r="C5" s="33">
        <f>Valuation!C44</f>
        <v>6.4811097183982911</v>
      </c>
    </row>
    <row r="6" spans="2:3" x14ac:dyDescent="0.2">
      <c r="B6" s="2" t="s">
        <v>97</v>
      </c>
      <c r="C6" s="32">
        <v>4.0199999999999996</v>
      </c>
    </row>
    <row r="7" spans="2:3" x14ac:dyDescent="0.2">
      <c r="B7" s="2" t="s">
        <v>98</v>
      </c>
      <c r="C7" s="21">
        <f>MIN(Valuation!D53:H57)</f>
        <v>4.404333302160703</v>
      </c>
    </row>
    <row r="8" spans="2:3" x14ac:dyDescent="0.2">
      <c r="B8" s="2" t="s">
        <v>99</v>
      </c>
      <c r="C8" s="22">
        <f>MAX(Valuation!D53:H57)</f>
        <v>11.374840080997627</v>
      </c>
    </row>
    <row r="9" spans="2:3" x14ac:dyDescent="0.2">
      <c r="B9" s="2" t="s">
        <v>100</v>
      </c>
      <c r="C9" s="11">
        <f>Valuation!C45</f>
        <v>4.7</v>
      </c>
    </row>
    <row r="10" spans="2:3" x14ac:dyDescent="0.2">
      <c r="B10" s="2" t="s">
        <v>101</v>
      </c>
      <c r="C10" s="23">
        <f>Valuation!C46</f>
        <v>0.37895951455282795</v>
      </c>
    </row>
    <row r="13" spans="2:3" ht="187" x14ac:dyDescent="0.2">
      <c r="B13" s="1" t="s">
        <v>124</v>
      </c>
    </row>
    <row r="17" spans="3:4" x14ac:dyDescent="0.2">
      <c r="D17" s="11"/>
    </row>
    <row r="18" spans="3:4" x14ac:dyDescent="0.2">
      <c r="C18" s="11"/>
      <c r="D18"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WACC</vt:lpstr>
      <vt:lpstr>Free Cash Flow</vt:lpstr>
      <vt:lpstr>Valuation</vt:lpstr>
      <vt:lpstr>Valuation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COTTLE, RUFUS (UG)</dc:creator>
  <cp:lastModifiedBy>COTTLE, RUFUS (UG)</cp:lastModifiedBy>
  <dcterms:created xsi:type="dcterms:W3CDTF">2026-07-31T16:48:38Z</dcterms:created>
  <dcterms:modified xsi:type="dcterms:W3CDTF">2026-08-03T19:35:43Z</dcterms:modified>
</cp:coreProperties>
</file>